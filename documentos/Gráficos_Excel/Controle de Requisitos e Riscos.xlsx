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xd\Documents\!Documentos!\SPTECH\Projeto_Individual\Controle de Requisitos e Riscos\"/>
    </mc:Choice>
  </mc:AlternateContent>
  <xr:revisionPtr revIDLastSave="0" documentId="13_ncr:1_{7BD624BC-0C69-4E36-BF6F-D1CF86053723}" xr6:coauthVersionLast="47" xr6:coauthVersionMax="47" xr10:uidLastSave="{00000000-0000-0000-0000-000000000000}"/>
  <bookViews>
    <workbookView xWindow="-120" yWindow="-120" windowWidth="29040" windowHeight="15720" xr2:uid="{5AA4CA3C-D35D-4264-851E-EC4345681B68}"/>
  </bookViews>
  <sheets>
    <sheet name="Burndown" sheetId="1" r:id="rId1"/>
    <sheet name="Ris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1" l="1"/>
  <c r="K27" i="1"/>
  <c r="K8" i="1"/>
  <c r="K7" i="1"/>
  <c r="L27" i="1"/>
  <c r="L2" i="1"/>
  <c r="J33" i="1"/>
  <c r="J32" i="1"/>
  <c r="J31" i="1"/>
  <c r="J30" i="1"/>
  <c r="J29" i="1"/>
  <c r="J28" i="1"/>
  <c r="J27" i="1"/>
  <c r="O3" i="1"/>
  <c r="J2" i="1"/>
  <c r="I27" i="1"/>
  <c r="I28" i="1"/>
  <c r="I29" i="1"/>
  <c r="I30" i="1"/>
  <c r="I31" i="1"/>
  <c r="I32" i="1"/>
  <c r="I33" i="1"/>
  <c r="K6" i="1"/>
  <c r="K5" i="1"/>
  <c r="K4" i="1"/>
  <c r="K3" i="1"/>
  <c r="K2" i="1"/>
  <c r="O2" i="1"/>
  <c r="O9" i="1"/>
  <c r="I2" i="1"/>
  <c r="I3" i="1"/>
  <c r="I4" i="1"/>
  <c r="I5" i="1"/>
  <c r="I6" i="1"/>
  <c r="I7" i="1"/>
  <c r="I8" i="1"/>
  <c r="L28" i="1" l="1"/>
  <c r="L29" i="1" s="1"/>
  <c r="L30" i="1" s="1"/>
  <c r="L31" i="1" s="1"/>
  <c r="L32" i="1" s="1"/>
  <c r="L33" i="1" s="1"/>
  <c r="J3" i="1"/>
  <c r="J4" i="1" s="1"/>
  <c r="J5" i="1" s="1"/>
  <c r="J6" i="1" s="1"/>
  <c r="J7" i="1" s="1"/>
  <c r="J8" i="1" s="1"/>
  <c r="L3" i="1"/>
  <c r="L4" i="1"/>
  <c r="L5" i="1" s="1"/>
  <c r="L6" i="1" s="1"/>
  <c r="L7" i="1" s="1"/>
  <c r="L8" i="1" s="1"/>
  <c r="O8" i="1"/>
</calcChain>
</file>

<file path=xl/sharedStrings.xml><?xml version="1.0" encoding="utf-8"?>
<sst xmlns="http://schemas.openxmlformats.org/spreadsheetml/2006/main" count="185" uniqueCount="72">
  <si>
    <t>REQUISITO</t>
  </si>
  <si>
    <t>DESCRIÇÃO</t>
  </si>
  <si>
    <t>CLASSIFICAÇÃO</t>
  </si>
  <si>
    <t>TAMANHO</t>
  </si>
  <si>
    <t>TAMANHO EM PONTOS</t>
  </si>
  <si>
    <t>PRIORIDADE</t>
  </si>
  <si>
    <t>SPRINT</t>
  </si>
  <si>
    <t>PONTOS</t>
  </si>
  <si>
    <t>SP01</t>
  </si>
  <si>
    <t>SP02</t>
  </si>
  <si>
    <t>SP03</t>
  </si>
  <si>
    <t>SP04</t>
  </si>
  <si>
    <t>SP05</t>
  </si>
  <si>
    <t>SP06</t>
  </si>
  <si>
    <t>TOTAL</t>
  </si>
  <si>
    <t>MÉDIA</t>
  </si>
  <si>
    <t>Contexto de Négocio</t>
  </si>
  <si>
    <t>Criação Inicial do Projeto</t>
  </si>
  <si>
    <t>Ferramenta Gestão de Projeto</t>
  </si>
  <si>
    <t>Requisitos populados na ferramenta</t>
  </si>
  <si>
    <t>Documentação inicial do Projeto</t>
  </si>
  <si>
    <t>Justificativa do Projeto</t>
  </si>
  <si>
    <t>Diagrama de Solução</t>
  </si>
  <si>
    <t>Diagrama de Visão de Negócio</t>
  </si>
  <si>
    <t>BackLog da Sprint</t>
  </si>
  <si>
    <t>Projeto criado e Configurado no Github</t>
  </si>
  <si>
    <t>Protótipo do Site Institucional</t>
  </si>
  <si>
    <t>Planilha de Risco de Projeto</t>
  </si>
  <si>
    <t>Planejar e distribuir tarefas na ferramenta escolhida.</t>
  </si>
  <si>
    <t>Selecionar e configurar a ferramenta de gerenciamento de projetos.</t>
  </si>
  <si>
    <t>Inserir todos os requisitos do projeto na ferramenta.</t>
  </si>
  <si>
    <t>Criar documentos base com informações do projeto.</t>
  </si>
  <si>
    <t>Descrever o cenário e ambiente de negócios do projeto.</t>
  </si>
  <si>
    <t>Explicar a necessidade e benefícios do projeto.</t>
  </si>
  <si>
    <t>Representar graficamente a solução proposta.</t>
  </si>
  <si>
    <t>Ilustrar o funcionamento do negócio e processos envolvidos.</t>
  </si>
  <si>
    <t>Listar tarefas e prioridades para a sprint.</t>
  </si>
  <si>
    <t>Criar repositório e organizar estrutura inicial.</t>
  </si>
  <si>
    <t>Desenvolver modelo inicial do site.</t>
  </si>
  <si>
    <t>Registrar e classificar riscos do projeto.</t>
  </si>
  <si>
    <t xml:space="preserve">Definir escopo, objetivos do projeto. </t>
  </si>
  <si>
    <t>TABELA DE CLASSIFICAÇÃO BASE</t>
  </si>
  <si>
    <t>PP</t>
  </si>
  <si>
    <t>P</t>
  </si>
  <si>
    <t>M</t>
  </si>
  <si>
    <t>G</t>
  </si>
  <si>
    <t>GG</t>
  </si>
  <si>
    <t>Essencial</t>
  </si>
  <si>
    <t>Importante</t>
  </si>
  <si>
    <t>Desejavel</t>
  </si>
  <si>
    <t>DIAS</t>
  </si>
  <si>
    <t>META DIA</t>
  </si>
  <si>
    <t>META IDEAL</t>
  </si>
  <si>
    <t>REALIZADO DIA REAL</t>
  </si>
  <si>
    <t>PENDENTE</t>
  </si>
  <si>
    <t>SPRINT 2</t>
  </si>
  <si>
    <t>SPRINT 1</t>
  </si>
  <si>
    <t>NÍVEL DE IMPACTO</t>
  </si>
  <si>
    <t>NÍVEL DE PRIORIDADE</t>
  </si>
  <si>
    <t>Atividades organizadas na ferramenta de Gestão</t>
  </si>
  <si>
    <t>Site Estático Institucional - Local</t>
  </si>
  <si>
    <t>Site Estático Dashboard - Local</t>
  </si>
  <si>
    <t>Site Estático Cadastro e Login</t>
  </si>
  <si>
    <t>Projeto Atualizado no GitHub</t>
  </si>
  <si>
    <t>Especificações da Dashboard</t>
  </si>
  <si>
    <t>Site Calculadora</t>
  </si>
  <si>
    <t>Definição das funcionalidades e layout da dashboard.</t>
  </si>
  <si>
    <t>Site com ferramenta para realizar cálculos de forma interativa.</t>
  </si>
  <si>
    <t>Página informativa com conteúdo fixo, rodando localmente.</t>
  </si>
  <si>
    <t>Versão simples da dashboard para testes visuais locais.</t>
  </si>
  <si>
    <t>Páginas visuais de cadastro e login sem integração real.</t>
  </si>
  <si>
    <t>Código atualizado e disponível no repositório para controle de versões.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</si>
</sst>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0"/>
      <name val="Open Sauce One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Open Sauce One"/>
    </font>
    <font>
      <b/>
      <sz val="12"/>
      <color theme="1"/>
      <name val="Arial"/>
      <family val="2"/>
    </font>
    <font>
      <sz val="12"/>
      <color theme="0"/>
      <name val="Open Sauce One"/>
    </font>
    <font>
      <sz val="12"/>
      <color theme="1"/>
      <name val="Open Sauce One"/>
    </font>
    <font>
      <u/>
      <sz val="12"/>
      <color theme="1"/>
      <name val="Open Sauce One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4" borderId="0" xfId="0" applyFill="1"/>
    <xf numFmtId="0" fontId="1" fillId="2" borderId="2" xfId="0" applyFont="1" applyFill="1" applyBorder="1"/>
    <xf numFmtId="0" fontId="1" fillId="2" borderId="4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4" xfId="0" applyFont="1" applyFill="1" applyBorder="1"/>
    <xf numFmtId="0" fontId="5" fillId="4" borderId="10" xfId="0" applyFont="1" applyFill="1" applyBorder="1"/>
    <xf numFmtId="0" fontId="5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/>
    <xf numFmtId="0" fontId="8" fillId="3" borderId="5" xfId="0" applyFont="1" applyFill="1" applyBorder="1"/>
    <xf numFmtId="0" fontId="8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4" borderId="0" xfId="0" applyFont="1" applyFill="1"/>
    <xf numFmtId="0" fontId="3" fillId="4" borderId="0" xfId="0" applyFont="1" applyFill="1"/>
    <xf numFmtId="0" fontId="6" fillId="4" borderId="0" xfId="0" applyFont="1" applyFill="1" applyAlignment="1">
      <alignment horizontal="center"/>
    </xf>
    <xf numFmtId="0" fontId="8" fillId="4" borderId="6" xfId="0" applyFont="1" applyFill="1" applyBorder="1"/>
    <xf numFmtId="0" fontId="8" fillId="3" borderId="5" xfId="0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3" borderId="6" xfId="0" applyFont="1" applyFill="1" applyBorder="1"/>
    <xf numFmtId="0" fontId="9" fillId="3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/>
    <xf numFmtId="0" fontId="1" fillId="4" borderId="6" xfId="0" applyFont="1" applyFill="1" applyBorder="1"/>
    <xf numFmtId="0" fontId="1" fillId="4" borderId="0" xfId="0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4" borderId="8" xfId="0" applyFont="1" applyFill="1" applyBorder="1"/>
    <xf numFmtId="0" fontId="5" fillId="7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3" fillId="4" borderId="0" xfId="0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" fontId="8" fillId="3" borderId="6" xfId="0" applyNumberFormat="1" applyFont="1" applyFill="1" applyBorder="1"/>
    <xf numFmtId="1" fontId="8" fillId="3" borderId="6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69"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Open Sauce One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Open Sauce One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Open Sauce One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Open Sauce One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Open Sauce One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500" b="1">
                <a:latin typeface="Open Sauce One" panose="00000500000000000000" pitchFamily="2" charset="0"/>
              </a:rPr>
              <a:t>Gráfico BurnDown Sprint</a:t>
            </a:r>
            <a:r>
              <a:rPr lang="pt-BR" sz="1500" b="1" baseline="0">
                <a:latin typeface="Open Sauce One" panose="00000500000000000000" pitchFamily="2" charset="0"/>
              </a:rPr>
              <a:t> 1</a:t>
            </a:r>
            <a:endParaRPr lang="pt-BR" sz="1500" b="1">
              <a:latin typeface="Open Sauce One" panose="000005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Burndown!$J$1</c:f>
              <c:strCache>
                <c:ptCount val="1"/>
                <c:pt idx="0">
                  <c:v>META IDEAL</c:v>
                </c:pt>
              </c:strCache>
            </c:strRef>
          </c:tx>
          <c:spPr>
            <a:ln w="762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rgbClr val="00B0F0"/>
                </a:solidFill>
              </a:ln>
              <a:effectLst/>
            </c:spPr>
          </c:marker>
          <c:val>
            <c:numRef>
              <c:f>Burndown!$J$2:$J$8</c:f>
              <c:numCache>
                <c:formatCode>0</c:formatCode>
                <c:ptCount val="7"/>
                <c:pt idx="0">
                  <c:v>56.571428571428569</c:v>
                </c:pt>
                <c:pt idx="1">
                  <c:v>47.142857142857139</c:v>
                </c:pt>
                <c:pt idx="2">
                  <c:v>37.714285714285708</c:v>
                </c:pt>
                <c:pt idx="3">
                  <c:v>28.285714285714278</c:v>
                </c:pt>
                <c:pt idx="4">
                  <c:v>18.857142857142847</c:v>
                </c:pt>
                <c:pt idx="5">
                  <c:v>9.4285714285714182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45-4FA2-8693-90D9CD16E983}"/>
            </c:ext>
          </c:extLst>
        </c:ser>
        <c:ser>
          <c:idx val="3"/>
          <c:order val="1"/>
          <c:tx>
            <c:strRef>
              <c:f>Burndown!$L$1</c:f>
              <c:strCache>
                <c:ptCount val="1"/>
                <c:pt idx="0">
                  <c:v>PENDENTE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76200">
                <a:solidFill>
                  <a:srgbClr val="FF0000"/>
                </a:solidFill>
              </a:ln>
              <a:effectLst/>
            </c:spPr>
          </c:marker>
          <c:val>
            <c:numRef>
              <c:f>Burndown!$L$2:$L$8</c:f>
              <c:numCache>
                <c:formatCode>General</c:formatCode>
                <c:ptCount val="7"/>
                <c:pt idx="0">
                  <c:v>58</c:v>
                </c:pt>
                <c:pt idx="1">
                  <c:v>48</c:v>
                </c:pt>
                <c:pt idx="2">
                  <c:v>32</c:v>
                </c:pt>
                <c:pt idx="3">
                  <c:v>27</c:v>
                </c:pt>
                <c:pt idx="4">
                  <c:v>19</c:v>
                </c:pt>
                <c:pt idx="5">
                  <c:v>11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45-4FA2-8693-90D9CD16E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250143"/>
        <c:axId val="1772825071"/>
      </c:lineChart>
      <c:catAx>
        <c:axId val="1626250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2825071"/>
        <c:crosses val="autoZero"/>
        <c:auto val="1"/>
        <c:lblAlgn val="ctr"/>
        <c:lblOffset val="100"/>
        <c:noMultiLvlLbl val="0"/>
      </c:catAx>
      <c:valAx>
        <c:axId val="177282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625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500" b="1">
                <a:latin typeface="Open Sauce One" panose="00000500000000000000" pitchFamily="2" charset="0"/>
              </a:rPr>
              <a:t>Gráfico BurnDown Sprint</a:t>
            </a:r>
            <a:r>
              <a:rPr lang="pt-BR" sz="1500" b="1" baseline="0">
                <a:latin typeface="Open Sauce One" panose="00000500000000000000" pitchFamily="2" charset="0"/>
              </a:rPr>
              <a:t> 2</a:t>
            </a:r>
            <a:endParaRPr lang="pt-BR" sz="1500" b="1">
              <a:latin typeface="Open Sauce One" panose="000005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Burndown!$J$26</c:f>
              <c:strCache>
                <c:ptCount val="1"/>
                <c:pt idx="0">
                  <c:v>META IDEAL</c:v>
                </c:pt>
              </c:strCache>
            </c:strRef>
          </c:tx>
          <c:spPr>
            <a:ln w="762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6200">
                <a:solidFill>
                  <a:srgbClr val="00B0F0"/>
                </a:solidFill>
              </a:ln>
              <a:effectLst/>
            </c:spPr>
          </c:marker>
          <c:val>
            <c:numRef>
              <c:f>Burndown!$J$27:$J$33</c:f>
              <c:numCache>
                <c:formatCode>0</c:formatCode>
                <c:ptCount val="7"/>
                <c:pt idx="0">
                  <c:v>60.857142857142847</c:v>
                </c:pt>
                <c:pt idx="1">
                  <c:v>50.714285714285708</c:v>
                </c:pt>
                <c:pt idx="2">
                  <c:v>40.571428571428569</c:v>
                </c:pt>
                <c:pt idx="3">
                  <c:v>30.428571428571427</c:v>
                </c:pt>
                <c:pt idx="4">
                  <c:v>20.285714285714285</c:v>
                </c:pt>
                <c:pt idx="5">
                  <c:v>10.142857142857142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BD-44E1-B58D-8D23BB03FC0E}"/>
            </c:ext>
          </c:extLst>
        </c:ser>
        <c:ser>
          <c:idx val="4"/>
          <c:order val="1"/>
          <c:tx>
            <c:strRef>
              <c:f>Burndown!$L$26</c:f>
              <c:strCache>
                <c:ptCount val="1"/>
                <c:pt idx="0">
                  <c:v>PENDENTE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76200">
                <a:solidFill>
                  <a:srgbClr val="FF0000"/>
                </a:solidFill>
              </a:ln>
              <a:effectLst/>
            </c:spPr>
          </c:marker>
          <c:val>
            <c:numRef>
              <c:f>Burndown!$L$27:$L$33</c:f>
              <c:numCache>
                <c:formatCode>0</c:formatCode>
                <c:ptCount val="7"/>
                <c:pt idx="0">
                  <c:v>67.999999999999986</c:v>
                </c:pt>
                <c:pt idx="1">
                  <c:v>67.999999999999986</c:v>
                </c:pt>
                <c:pt idx="2">
                  <c:v>46.999999999999986</c:v>
                </c:pt>
                <c:pt idx="3">
                  <c:v>46.999999999999986</c:v>
                </c:pt>
                <c:pt idx="4">
                  <c:v>46.999999999999986</c:v>
                </c:pt>
                <c:pt idx="5">
                  <c:v>46.999999999999986</c:v>
                </c:pt>
                <c:pt idx="6">
                  <c:v>46.999999999999986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BD-44E1-B58D-8D23BB03F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250143"/>
        <c:axId val="1772825071"/>
      </c:lineChart>
      <c:catAx>
        <c:axId val="162625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2825071"/>
        <c:crosses val="autoZero"/>
        <c:auto val="1"/>
        <c:lblAlgn val="ctr"/>
        <c:lblOffset val="100"/>
        <c:noMultiLvlLbl val="0"/>
      </c:catAx>
      <c:valAx>
        <c:axId val="177282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625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422670</xdr:colOff>
      <xdr:row>8</xdr:row>
      <xdr:rowOff>63103</xdr:rowOff>
    </xdr:from>
    <xdr:to>
      <xdr:col>11</xdr:col>
      <xdr:colOff>750092</xdr:colOff>
      <xdr:row>24</xdr:row>
      <xdr:rowOff>83345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8AF65F-D3A4-44B6-C2AB-2AC3EB053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511968</xdr:colOff>
      <xdr:row>33</xdr:row>
      <xdr:rowOff>71438</xdr:rowOff>
    </xdr:from>
    <xdr:to>
      <xdr:col>11</xdr:col>
      <xdr:colOff>839390</xdr:colOff>
      <xdr:row>50</xdr:row>
      <xdr:rowOff>32148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9BFB7E8-F4EC-4939-AD51-29E5501A2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83341</xdr:colOff>
      <xdr:row>0</xdr:row>
      <xdr:rowOff>0</xdr:rowOff>
    </xdr:from>
    <xdr:to>
      <xdr:col>13</xdr:col>
      <xdr:colOff>35716</xdr:colOff>
      <xdr:row>23</xdr:row>
      <xdr:rowOff>7024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4A5B360-D112-158F-9703-F41D90FFBC16}"/>
            </a:ext>
          </a:extLst>
        </xdr:cNvPr>
        <xdr:cNvSpPr/>
      </xdr:nvSpPr>
      <xdr:spPr>
        <a:xfrm>
          <a:off x="14347029" y="0"/>
          <a:ext cx="4798218" cy="4555212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762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683061-FBB9-4912-97D3-1C765674EF50}" name="Tabela110" displayName="Tabela110" ref="A17:F23" totalsRowShown="0" headerRowDxfId="68" dataDxfId="66" headerRowBorderDxfId="67" tableBorderDxfId="65" totalsRowBorderDxfId="64">
  <autoFilter ref="A17:F23" xr:uid="{23683061-FBB9-4912-97D3-1C765674EF50}"/>
  <tableColumns count="6">
    <tableColumn id="1" xr3:uid="{37CCB7E7-15E6-457F-9A57-3F5FD2270B0A}" name="REQUISITO" dataDxfId="63"/>
    <tableColumn id="2" xr3:uid="{4531F862-F0AE-40EF-80CF-8A9126AE063D}" name="DESCRIÇÃO" dataDxfId="62"/>
    <tableColumn id="3" xr3:uid="{972EBEF2-394A-4524-BFB9-A7E6EEF61C82}" name="CLASSIFICAÇÃO" dataDxfId="61"/>
    <tableColumn id="4" xr3:uid="{65BE5984-C6E5-44DB-80F8-B2039A92E1F7}" name="TAMANHO" dataDxfId="60"/>
    <tableColumn id="5" xr3:uid="{828662EE-AEFE-4157-9D24-EF8347D05D94}" name="TAMANHO EM PONTOS" dataDxfId="59"/>
    <tableColumn id="6" xr3:uid="{184E5CCD-BF7B-4F70-85C2-51F9B0E8444C}" name="PRIORIDADE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B8FA49B-5600-422D-A6ED-4B78F84339F5}" name="Tabela11012" displayName="Tabela11012" ref="A2:F15" totalsRowShown="0" headerRowDxfId="57" dataDxfId="55" headerRowBorderDxfId="56" tableBorderDxfId="54" totalsRowBorderDxfId="53">
  <autoFilter ref="A2:F15" xr:uid="{CB8FA49B-5600-422D-A6ED-4B78F84339F5}"/>
  <tableColumns count="6">
    <tableColumn id="1" xr3:uid="{8A2303E4-BD40-47D9-88B9-77E347FC2BAE}" name="REQUISITO" dataDxfId="52"/>
    <tableColumn id="2" xr3:uid="{7B23A2AD-6F98-4E63-9AA8-6A3F0E1880FD}" name="DESCRIÇÃO" dataDxfId="51"/>
    <tableColumn id="3" xr3:uid="{A7667619-77CF-4643-B592-3664A316E086}" name="CLASSIFICAÇÃO" dataDxfId="50"/>
    <tableColumn id="4" xr3:uid="{5C53E43B-8D5A-4888-B59E-2DEB863DF089}" name="TAMANHO" dataDxfId="49"/>
    <tableColumn id="5" xr3:uid="{24F9A189-DA85-4237-8455-461967139F90}" name="TAMANHO EM PONTOS" dataDxfId="48"/>
    <tableColumn id="6" xr3:uid="{09897072-0259-405F-9DE5-7D6ED8DC4FCE}" name="PRIORIDADE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CAF1F1-4434-45D2-B461-BD0C7F0F4394}" name="Tabela41314" displayName="Tabela41314" ref="H1:L8" totalsRowShown="0" headerRowDxfId="46" dataDxfId="44" headerRowBorderDxfId="45" tableBorderDxfId="43" totalsRowBorderDxfId="42">
  <autoFilter ref="H1:L8" xr:uid="{C7CAF1F1-4434-45D2-B461-BD0C7F0F4394}"/>
  <tableColumns count="5">
    <tableColumn id="1" xr3:uid="{D2AE28DC-5666-4D45-809B-8E38BE0C2DDD}" name="DIAS" dataDxfId="41"/>
    <tableColumn id="2" xr3:uid="{78E975DD-1A25-4737-B1CC-A04B7C42719F}" name="META DIA" dataDxfId="40">
      <calculatedColumnFormula>SUM(Tabela11012[TAMANHO EM PONTOS])/7</calculatedColumnFormula>
    </tableColumn>
    <tableColumn id="3" xr3:uid="{1C094911-6499-447E-8B22-C02F86647736}" name="META IDEAL" dataDxfId="39">
      <calculatedColumnFormula>O1-I2</calculatedColumnFormula>
    </tableColumn>
    <tableColumn id="4" xr3:uid="{4BD26D8E-EEDC-4790-83D8-2295EC996BDB}" name="REALIZADO DIA REAL" dataDxfId="38">
      <calculatedColumnFormula>E3+E5</calculatedColumnFormula>
    </tableColumn>
    <tableColumn id="5" xr3:uid="{0F23869B-6068-4513-A53B-417F7AB7BEAE}" name="PENDENTE" dataDxfId="37">
      <calculatedColumnFormula>O2-K2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639EC6-1B00-4E76-A9F4-B5887A7371B0}" name="Tabela2461516" displayName="Tabela2461516" ref="N1:O9" totalsRowShown="0" headerRowDxfId="36" dataDxfId="34" headerRowBorderDxfId="35" tableBorderDxfId="33" totalsRowBorderDxfId="32">
  <autoFilter ref="N1:O9" xr:uid="{91639EC6-1B00-4E76-A9F4-B5887A7371B0}"/>
  <tableColumns count="2">
    <tableColumn id="1" xr3:uid="{60885F8D-986A-4B4D-89EA-10AC21CD8C77}" name="SPRINT" dataDxfId="31"/>
    <tableColumn id="2" xr3:uid="{AEAE8010-C1F3-43D1-8DD2-FB646C23B83B}" name="PONTOS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C21011-4248-438D-91D5-AF25E092762C}" name="Tabela413148" displayName="Tabela413148" ref="H26:L33" totalsRowShown="0" headerRowDxfId="29" dataDxfId="27" headerRowBorderDxfId="28" tableBorderDxfId="26" totalsRowBorderDxfId="25">
  <autoFilter ref="H26:L33" xr:uid="{5EC21011-4248-438D-91D5-AF25E092762C}"/>
  <tableColumns count="5">
    <tableColumn id="1" xr3:uid="{AF09D71C-B13D-4F5D-B38F-562C98C8BE6B}" name="DIAS" dataDxfId="24"/>
    <tableColumn id="2" xr3:uid="{B80842FA-F494-4B31-931F-49FDF339CCA0}" name="META DIA" dataDxfId="23">
      <calculatedColumnFormula>SUM(Tabela110[TAMANHO EM PONTOS])/7</calculatedColumnFormula>
    </tableColumn>
    <tableColumn id="3" xr3:uid="{9BEEFEC6-F2D2-4C2E-9699-CA25E7AE8EB7}" name="META IDEAL" dataDxfId="22">
      <calculatedColumnFormula>O1-I27</calculatedColumnFormula>
    </tableColumn>
    <tableColumn id="4" xr3:uid="{0423CB43-85FE-430C-A5F1-FC3C0EEF2475}" name="REALIZADO DIA REAL" dataDxfId="21">
      <calculatedColumnFormula>E18</calculatedColumnFormula>
    </tableColumn>
    <tableColumn id="5" xr3:uid="{DE8DBC9D-08A1-4E5E-A4B6-D3EBD81F2795}" name="PENDENTE" dataDxfId="20">
      <calculatedColumnFormula>O3-K27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592AE5-E8FA-42EB-B0B3-EC22C65C65E4}" name="Tabela11012246" displayName="Tabela11012246" ref="A2:E15" totalsRowShown="0" headerRowDxfId="19" dataDxfId="17" headerRowBorderDxfId="18" tableBorderDxfId="16" totalsRowBorderDxfId="15">
  <autoFilter ref="A2:E15" xr:uid="{FA592AE5-E8FA-42EB-B0B3-EC22C65C65E4}"/>
  <tableColumns count="5">
    <tableColumn id="1" xr3:uid="{CA9424CB-F944-4B01-A241-607C1CC34FD9}" name="REQUISITO" dataDxfId="14"/>
    <tableColumn id="2" xr3:uid="{18ECE387-3DF9-43E3-9DDB-5A5A5BB35D7F}" name="DESCRIÇÃO" dataDxfId="13"/>
    <tableColumn id="3" xr3:uid="{3B515570-6303-429A-9E00-2E8BA4A51AA4}" name="CLASSIFICAÇÃO" dataDxfId="12"/>
    <tableColumn id="4" xr3:uid="{1CA8C51D-DCBB-4F3A-83B0-E8854E01F28E}" name="NÍVEL DE IMPACTO" dataDxfId="11"/>
    <tableColumn id="5" xr3:uid="{AD4CCC9D-E036-4D8D-9CFC-53B4E8404836}" name="NÍVEL DE PRIORIDADE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19CF4A-A129-4875-84D7-4D26CC7C8DF9}" name="Tabela110122467" displayName="Tabela110122467" ref="A17:E23" totalsRowShown="0" headerRowDxfId="9" dataDxfId="7" headerRowBorderDxfId="8" tableBorderDxfId="6" totalsRowBorderDxfId="5">
  <autoFilter ref="A17:E23" xr:uid="{CD19CF4A-A129-4875-84D7-4D26CC7C8DF9}"/>
  <tableColumns count="5">
    <tableColumn id="1" xr3:uid="{6F1AFDFC-BEB0-490B-890E-52ACDDE3FB62}" name="REQUISITO" dataDxfId="4"/>
    <tableColumn id="2" xr3:uid="{A32BE241-4BA3-481D-8F23-15BE290DFF36}" name="DESCRIÇÃO" dataDxfId="3"/>
    <tableColumn id="3" xr3:uid="{7DF28BF0-E1E9-4A5F-BDE9-8B3B3C5DC291}" name="CLASSIFICAÇÃO" dataDxfId="2"/>
    <tableColumn id="4" xr3:uid="{FDFF426E-A6DF-411E-B647-5019CE70E64A}" name="NÍVEL DE IMPACTO" dataDxfId="1"/>
    <tableColumn id="5" xr3:uid="{7F43196A-919F-43AE-9879-ABF3A471143D}" name="NÍVEL DE PRIOR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CA69-EDBD-407B-9069-0E148DE0064E}">
  <dimension ref="A1:V38"/>
  <sheetViews>
    <sheetView tabSelected="1" topLeftCell="C11" zoomScale="80" zoomScaleNormal="80" workbookViewId="0">
      <selection activeCell="A19" sqref="A19"/>
    </sheetView>
  </sheetViews>
  <sheetFormatPr defaultRowHeight="15" x14ac:dyDescent="0.25"/>
  <cols>
    <col min="1" max="1" width="53.5703125" style="1" bestFit="1" customWidth="1"/>
    <col min="2" max="2" width="84.140625" style="1" bestFit="1" customWidth="1"/>
    <col min="3" max="3" width="26.7109375" style="1" bestFit="1" customWidth="1"/>
    <col min="4" max="4" width="19.28515625" style="1" bestFit="1" customWidth="1"/>
    <col min="5" max="5" width="35" style="1" bestFit="1" customWidth="1"/>
    <col min="6" max="6" width="21.5703125" style="1" bestFit="1" customWidth="1"/>
    <col min="7" max="7" width="12.85546875" style="1" bestFit="1" customWidth="1"/>
    <col min="8" max="8" width="12.42578125" style="1" bestFit="1" customWidth="1"/>
    <col min="9" max="9" width="18" style="1" bestFit="1" customWidth="1"/>
    <col min="10" max="10" width="20.85546875" style="1" bestFit="1" customWidth="1"/>
    <col min="11" max="11" width="31.5703125" style="1" bestFit="1" customWidth="1"/>
    <col min="12" max="13" width="19.42578125" style="1" bestFit="1" customWidth="1"/>
    <col min="14" max="14" width="12.85546875" style="1" bestFit="1" customWidth="1"/>
    <col min="15" max="16" width="14.42578125" style="1" bestFit="1" customWidth="1"/>
    <col min="17" max="16384" width="9.140625" style="1"/>
  </cols>
  <sheetData>
    <row r="1" spans="1:22" ht="15.75" x14ac:dyDescent="0.25">
      <c r="A1" s="47" t="s">
        <v>56</v>
      </c>
      <c r="B1" s="47"/>
      <c r="C1" s="47"/>
      <c r="D1" s="47"/>
      <c r="E1" s="47"/>
      <c r="F1" s="47"/>
      <c r="G1" s="10"/>
      <c r="H1" s="6" t="s">
        <v>50</v>
      </c>
      <c r="I1" s="7" t="s">
        <v>51</v>
      </c>
      <c r="J1" s="7" t="s">
        <v>52</v>
      </c>
      <c r="K1" s="7" t="s">
        <v>53</v>
      </c>
      <c r="L1" s="8" t="s">
        <v>54</v>
      </c>
      <c r="M1" s="12"/>
      <c r="N1" s="2" t="s">
        <v>6</v>
      </c>
      <c r="O1" s="3" t="s">
        <v>7</v>
      </c>
      <c r="P1" s="9"/>
      <c r="Q1" s="19"/>
      <c r="R1" s="46" t="s">
        <v>41</v>
      </c>
      <c r="S1" s="46"/>
      <c r="T1" s="46"/>
      <c r="U1" s="46"/>
      <c r="V1" s="46"/>
    </row>
    <row r="2" spans="1:22" ht="15.75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11"/>
      <c r="H2" s="23">
        <v>1</v>
      </c>
      <c r="I2" s="24">
        <f>SUM(Tabela11012[TAMANHO EM PONTOS])/7</f>
        <v>9.4285714285714288</v>
      </c>
      <c r="J2" s="24">
        <f>O2-I2</f>
        <v>56.571428571428569</v>
      </c>
      <c r="K2" s="25">
        <f>E3+E5</f>
        <v>8</v>
      </c>
      <c r="L2" s="26">
        <f>O2-K2</f>
        <v>58</v>
      </c>
      <c r="M2" s="27"/>
      <c r="N2" s="14" t="s">
        <v>8</v>
      </c>
      <c r="O2" s="28">
        <f>SUM(Tabela11012[TAMANHO EM PONTOS])</f>
        <v>66</v>
      </c>
      <c r="P2" s="22"/>
      <c r="Q2" s="19"/>
      <c r="R2" s="16">
        <v>3</v>
      </c>
      <c r="S2" s="16">
        <v>5</v>
      </c>
      <c r="T2" s="16">
        <v>8</v>
      </c>
      <c r="U2" s="16">
        <v>13</v>
      </c>
      <c r="V2" s="16">
        <v>21</v>
      </c>
    </row>
    <row r="3" spans="1:22" ht="15.75" x14ac:dyDescent="0.25">
      <c r="A3" s="14" t="s">
        <v>17</v>
      </c>
      <c r="B3" s="15" t="s">
        <v>40</v>
      </c>
      <c r="C3" s="16" t="s">
        <v>47</v>
      </c>
      <c r="D3" s="16" t="s">
        <v>42</v>
      </c>
      <c r="E3" s="16">
        <v>3</v>
      </c>
      <c r="F3" s="38">
        <v>9</v>
      </c>
      <c r="G3" s="22"/>
      <c r="H3" s="23">
        <v>2</v>
      </c>
      <c r="I3" s="24">
        <f>SUM(Tabela11012[TAMANHO EM PONTOS])/7</f>
        <v>9.4285714285714288</v>
      </c>
      <c r="J3" s="24">
        <f>J2-I3</f>
        <v>47.142857142857139</v>
      </c>
      <c r="K3" s="25">
        <f>E4+E6</f>
        <v>10</v>
      </c>
      <c r="L3" s="26">
        <f>L2-K3</f>
        <v>48</v>
      </c>
      <c r="M3" s="27"/>
      <c r="N3" s="14" t="s">
        <v>9</v>
      </c>
      <c r="O3" s="44">
        <f>SUM(Tabela413148[META DIA])</f>
        <v>70.999999999999986</v>
      </c>
      <c r="P3" s="22"/>
      <c r="Q3" s="19"/>
      <c r="R3" s="16" t="s">
        <v>42</v>
      </c>
      <c r="S3" s="16" t="s">
        <v>43</v>
      </c>
      <c r="T3" s="16" t="s">
        <v>44</v>
      </c>
      <c r="U3" s="16" t="s">
        <v>45</v>
      </c>
      <c r="V3" s="16" t="s">
        <v>46</v>
      </c>
    </row>
    <row r="4" spans="1:22" ht="15.75" x14ac:dyDescent="0.25">
      <c r="A4" s="14" t="s">
        <v>59</v>
      </c>
      <c r="B4" s="15" t="s">
        <v>28</v>
      </c>
      <c r="C4" s="16" t="s">
        <v>49</v>
      </c>
      <c r="D4" s="16" t="s">
        <v>43</v>
      </c>
      <c r="E4" s="16">
        <v>5</v>
      </c>
      <c r="F4" s="17">
        <v>4</v>
      </c>
      <c r="G4" s="22"/>
      <c r="H4" s="23">
        <v>3</v>
      </c>
      <c r="I4" s="24">
        <f>SUM(Tabela11012[TAMANHO EM PONTOS])/7</f>
        <v>9.4285714285714288</v>
      </c>
      <c r="J4" s="24">
        <f>J3-I4</f>
        <v>37.714285714285708</v>
      </c>
      <c r="K4" s="25">
        <f>E7+E8+E9</f>
        <v>16</v>
      </c>
      <c r="L4" s="26">
        <f t="shared" ref="L4:L8" si="0">L3-K4</f>
        <v>32</v>
      </c>
      <c r="M4" s="27"/>
      <c r="N4" s="14" t="s">
        <v>10</v>
      </c>
      <c r="O4" s="28"/>
      <c r="P4" s="22"/>
      <c r="Q4" s="19"/>
      <c r="R4" s="19"/>
      <c r="S4" s="19"/>
      <c r="T4" s="19"/>
      <c r="U4" s="19"/>
      <c r="V4" s="19"/>
    </row>
    <row r="5" spans="1:22" ht="15.75" x14ac:dyDescent="0.25">
      <c r="A5" s="14" t="s">
        <v>18</v>
      </c>
      <c r="B5" s="15" t="s">
        <v>29</v>
      </c>
      <c r="C5" s="16" t="s">
        <v>48</v>
      </c>
      <c r="D5" s="16" t="s">
        <v>43</v>
      </c>
      <c r="E5" s="16">
        <v>5</v>
      </c>
      <c r="F5" s="38">
        <v>6</v>
      </c>
      <c r="G5" s="22"/>
      <c r="H5" s="23">
        <v>4</v>
      </c>
      <c r="I5" s="24">
        <f>SUM(Tabela11012[TAMANHO EM PONTOS])/7</f>
        <v>9.4285714285714288</v>
      </c>
      <c r="J5" s="24">
        <f>J4-I5</f>
        <v>28.285714285714278</v>
      </c>
      <c r="K5" s="29">
        <f>E14</f>
        <v>5</v>
      </c>
      <c r="L5" s="26">
        <f t="shared" si="0"/>
        <v>27</v>
      </c>
      <c r="M5" s="27"/>
      <c r="N5" s="14" t="s">
        <v>11</v>
      </c>
      <c r="O5" s="28"/>
      <c r="P5" s="22"/>
      <c r="Q5" s="19"/>
      <c r="R5" s="19"/>
      <c r="S5" s="19"/>
      <c r="T5" s="19"/>
      <c r="U5" s="19"/>
      <c r="V5" s="19"/>
    </row>
    <row r="6" spans="1:22" ht="15.75" x14ac:dyDescent="0.25">
      <c r="A6" s="14" t="s">
        <v>19</v>
      </c>
      <c r="B6" s="15" t="s">
        <v>30</v>
      </c>
      <c r="C6" s="16" t="s">
        <v>48</v>
      </c>
      <c r="D6" s="16" t="s">
        <v>43</v>
      </c>
      <c r="E6" s="16">
        <v>5</v>
      </c>
      <c r="F6" s="38">
        <v>6</v>
      </c>
      <c r="G6" s="22"/>
      <c r="H6" s="23">
        <v>5</v>
      </c>
      <c r="I6" s="24">
        <f>SUM(Tabela11012[TAMANHO EM PONTOS])/7</f>
        <v>9.4285714285714288</v>
      </c>
      <c r="J6" s="24">
        <f>J5-I6</f>
        <v>18.857142857142847</v>
      </c>
      <c r="K6" s="25">
        <f>E13+E15</f>
        <v>8</v>
      </c>
      <c r="L6" s="26">
        <f t="shared" si="0"/>
        <v>19</v>
      </c>
      <c r="M6" s="27"/>
      <c r="N6" s="14" t="s">
        <v>12</v>
      </c>
      <c r="O6" s="28"/>
      <c r="P6" s="22"/>
      <c r="Q6" s="19"/>
      <c r="R6" s="19"/>
      <c r="S6" s="19"/>
      <c r="T6" s="19"/>
      <c r="U6" s="19"/>
      <c r="V6" s="19"/>
    </row>
    <row r="7" spans="1:22" ht="15.75" x14ac:dyDescent="0.25">
      <c r="A7" s="14" t="s">
        <v>20</v>
      </c>
      <c r="B7" s="15" t="s">
        <v>31</v>
      </c>
      <c r="C7" s="16" t="s">
        <v>47</v>
      </c>
      <c r="D7" s="16" t="s">
        <v>43</v>
      </c>
      <c r="E7" s="16">
        <v>5</v>
      </c>
      <c r="F7" s="38">
        <v>9</v>
      </c>
      <c r="G7" s="22"/>
      <c r="H7" s="23">
        <v>6</v>
      </c>
      <c r="I7" s="24">
        <f>SUM(Tabela11012[TAMANHO EM PONTOS])/7</f>
        <v>9.4285714285714288</v>
      </c>
      <c r="J7" s="24">
        <f>J6-I7</f>
        <v>9.4285714285714182</v>
      </c>
      <c r="K7" s="25">
        <f>E11</f>
        <v>8</v>
      </c>
      <c r="L7" s="26">
        <f t="shared" si="0"/>
        <v>11</v>
      </c>
      <c r="M7" s="27"/>
      <c r="N7" s="14" t="s">
        <v>13</v>
      </c>
      <c r="O7" s="28"/>
      <c r="P7" s="22"/>
      <c r="Q7" s="19"/>
      <c r="R7" s="19"/>
      <c r="S7" s="19"/>
      <c r="T7" s="19"/>
      <c r="U7" s="19"/>
      <c r="V7" s="19"/>
    </row>
    <row r="8" spans="1:22" ht="15.75" x14ac:dyDescent="0.25">
      <c r="A8" s="14" t="s">
        <v>16</v>
      </c>
      <c r="B8" s="15" t="s">
        <v>32</v>
      </c>
      <c r="C8" s="16" t="s">
        <v>47</v>
      </c>
      <c r="D8" s="16" t="s">
        <v>44</v>
      </c>
      <c r="E8" s="16">
        <v>8</v>
      </c>
      <c r="F8" s="38">
        <v>9</v>
      </c>
      <c r="G8" s="22"/>
      <c r="H8" s="23">
        <v>7</v>
      </c>
      <c r="I8" s="24">
        <f>SUM(Tabela11012[TAMANHO EM PONTOS])/7</f>
        <v>9.4285714285714288</v>
      </c>
      <c r="J8" s="24">
        <f t="shared" ref="J8" si="1">J7-I8</f>
        <v>0</v>
      </c>
      <c r="K8" s="25">
        <f>E12</f>
        <v>3</v>
      </c>
      <c r="L8" s="26">
        <f t="shared" si="0"/>
        <v>8</v>
      </c>
      <c r="M8" s="27"/>
      <c r="N8" s="30" t="s">
        <v>14</v>
      </c>
      <c r="O8" s="31">
        <f>SUM(O2:O7)</f>
        <v>137</v>
      </c>
      <c r="P8" s="32"/>
      <c r="Q8" s="19"/>
      <c r="R8" s="19"/>
      <c r="S8" s="19"/>
      <c r="T8" s="19"/>
      <c r="U8" s="19"/>
      <c r="V8" s="19"/>
    </row>
    <row r="9" spans="1:22" ht="15.75" x14ac:dyDescent="0.25">
      <c r="A9" s="14" t="s">
        <v>21</v>
      </c>
      <c r="B9" s="15" t="s">
        <v>33</v>
      </c>
      <c r="C9" s="16" t="s">
        <v>47</v>
      </c>
      <c r="D9" s="16" t="s">
        <v>42</v>
      </c>
      <c r="E9" s="16">
        <v>3</v>
      </c>
      <c r="F9" s="38">
        <v>9</v>
      </c>
      <c r="G9" s="22"/>
      <c r="H9" s="33"/>
      <c r="I9" s="34"/>
      <c r="J9" s="34"/>
      <c r="K9" s="33"/>
      <c r="L9" s="33"/>
      <c r="M9" s="33"/>
      <c r="N9" s="35" t="s">
        <v>15</v>
      </c>
      <c r="O9" s="36">
        <f>AVERAGE(O2:O7)</f>
        <v>68.5</v>
      </c>
      <c r="P9" s="37"/>
      <c r="Q9" s="19"/>
      <c r="R9" s="19"/>
      <c r="S9" s="19"/>
      <c r="T9" s="19"/>
      <c r="U9" s="19"/>
      <c r="V9" s="19"/>
    </row>
    <row r="10" spans="1:22" ht="15.75" x14ac:dyDescent="0.25">
      <c r="A10" s="14" t="s">
        <v>22</v>
      </c>
      <c r="B10" s="15" t="s">
        <v>34</v>
      </c>
      <c r="C10" s="16" t="s">
        <v>48</v>
      </c>
      <c r="D10" s="16" t="s">
        <v>44</v>
      </c>
      <c r="E10" s="16">
        <v>8</v>
      </c>
      <c r="F10" s="18">
        <v>2</v>
      </c>
      <c r="G10" s="22"/>
      <c r="H10" s="13"/>
      <c r="I10" s="13"/>
      <c r="J10" s="13"/>
      <c r="K10" s="13"/>
      <c r="L10" s="13"/>
      <c r="M10" s="13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 x14ac:dyDescent="0.25">
      <c r="A11" s="14" t="s">
        <v>23</v>
      </c>
      <c r="B11" s="15" t="s">
        <v>35</v>
      </c>
      <c r="C11" s="16" t="s">
        <v>48</v>
      </c>
      <c r="D11" s="16" t="s">
        <v>44</v>
      </c>
      <c r="E11" s="16">
        <v>8</v>
      </c>
      <c r="F11" s="18">
        <v>2</v>
      </c>
      <c r="G11" s="22"/>
    </row>
    <row r="12" spans="1:22" ht="15.75" x14ac:dyDescent="0.25">
      <c r="A12" s="14" t="s">
        <v>24</v>
      </c>
      <c r="B12" s="15" t="s">
        <v>36</v>
      </c>
      <c r="C12" s="16" t="s">
        <v>48</v>
      </c>
      <c r="D12" s="16" t="s">
        <v>42</v>
      </c>
      <c r="E12" s="16">
        <v>3</v>
      </c>
      <c r="F12" s="18">
        <v>1</v>
      </c>
      <c r="G12" s="22"/>
    </row>
    <row r="13" spans="1:22" ht="15.75" x14ac:dyDescent="0.25">
      <c r="A13" s="14" t="s">
        <v>25</v>
      </c>
      <c r="B13" s="15" t="s">
        <v>37</v>
      </c>
      <c r="C13" s="16" t="s">
        <v>47</v>
      </c>
      <c r="D13" s="16" t="s">
        <v>43</v>
      </c>
      <c r="E13" s="16">
        <v>5</v>
      </c>
      <c r="F13" s="38">
        <v>9</v>
      </c>
      <c r="G13" s="22"/>
    </row>
    <row r="14" spans="1:22" ht="15.75" x14ac:dyDescent="0.25">
      <c r="A14" s="14" t="s">
        <v>26</v>
      </c>
      <c r="B14" s="15" t="s">
        <v>38</v>
      </c>
      <c r="C14" s="16" t="s">
        <v>48</v>
      </c>
      <c r="D14" s="16" t="s">
        <v>43</v>
      </c>
      <c r="E14" s="16">
        <v>5</v>
      </c>
      <c r="F14" s="38">
        <v>6</v>
      </c>
      <c r="G14" s="22"/>
    </row>
    <row r="15" spans="1:22" ht="15.75" x14ac:dyDescent="0.25">
      <c r="A15" s="14" t="s">
        <v>27</v>
      </c>
      <c r="B15" s="15" t="s">
        <v>39</v>
      </c>
      <c r="C15" s="16" t="s">
        <v>47</v>
      </c>
      <c r="D15" s="16" t="s">
        <v>42</v>
      </c>
      <c r="E15" s="16">
        <v>3</v>
      </c>
      <c r="F15" s="18">
        <v>2</v>
      </c>
      <c r="G15" s="22"/>
    </row>
    <row r="16" spans="1:22" ht="15.75" x14ac:dyDescent="0.25">
      <c r="A16" s="48" t="s">
        <v>55</v>
      </c>
      <c r="B16" s="48"/>
      <c r="C16" s="48"/>
      <c r="D16" s="48"/>
      <c r="E16" s="48"/>
      <c r="F16" s="48"/>
      <c r="G16" s="19"/>
    </row>
    <row r="17" spans="1:15" ht="15.75" x14ac:dyDescent="0.25">
      <c r="A17" s="4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19"/>
      <c r="N17" s="13"/>
      <c r="O17" s="13"/>
    </row>
    <row r="18" spans="1:15" ht="15.75" x14ac:dyDescent="0.25">
      <c r="A18" s="14" t="s">
        <v>63</v>
      </c>
      <c r="B18" s="15" t="s">
        <v>71</v>
      </c>
      <c r="C18" s="16" t="s">
        <v>48</v>
      </c>
      <c r="D18" s="16" t="s">
        <v>42</v>
      </c>
      <c r="E18" s="16">
        <v>3</v>
      </c>
      <c r="F18" s="18">
        <v>1</v>
      </c>
      <c r="G18" s="19"/>
      <c r="N18" s="20"/>
      <c r="O18" s="20"/>
    </row>
    <row r="19" spans="1:15" ht="15.75" x14ac:dyDescent="0.25">
      <c r="A19" s="14" t="s">
        <v>64</v>
      </c>
      <c r="B19" s="15" t="s">
        <v>66</v>
      </c>
      <c r="C19" s="16" t="s">
        <v>48</v>
      </c>
      <c r="D19" s="16" t="s">
        <v>44</v>
      </c>
      <c r="E19" s="16">
        <v>8</v>
      </c>
      <c r="F19" s="17">
        <v>4</v>
      </c>
      <c r="G19" s="19"/>
      <c r="N19" s="20"/>
      <c r="O19" s="20"/>
    </row>
    <row r="20" spans="1:15" ht="15.75" x14ac:dyDescent="0.25">
      <c r="A20" s="14" t="s">
        <v>65</v>
      </c>
      <c r="B20" s="15" t="s">
        <v>67</v>
      </c>
      <c r="C20" s="16" t="s">
        <v>47</v>
      </c>
      <c r="D20" s="16" t="s">
        <v>45</v>
      </c>
      <c r="E20" s="16">
        <v>13</v>
      </c>
      <c r="F20" s="38">
        <v>6</v>
      </c>
      <c r="G20" s="19"/>
      <c r="N20" s="20"/>
      <c r="O20" s="20"/>
    </row>
    <row r="21" spans="1:15" ht="15.75" x14ac:dyDescent="0.25">
      <c r="A21" s="14" t="s">
        <v>60</v>
      </c>
      <c r="B21" s="15" t="s">
        <v>68</v>
      </c>
      <c r="C21" s="16" t="s">
        <v>47</v>
      </c>
      <c r="D21" s="16" t="s">
        <v>46</v>
      </c>
      <c r="E21" s="16">
        <v>21</v>
      </c>
      <c r="F21" s="38">
        <v>9</v>
      </c>
      <c r="G21" s="19"/>
      <c r="N21" s="20"/>
      <c r="O21" s="20"/>
    </row>
    <row r="22" spans="1:15" ht="15.75" x14ac:dyDescent="0.25">
      <c r="A22" s="14" t="s">
        <v>61</v>
      </c>
      <c r="B22" s="15" t="s">
        <v>69</v>
      </c>
      <c r="C22" s="16" t="s">
        <v>47</v>
      </c>
      <c r="D22" s="16" t="s">
        <v>45</v>
      </c>
      <c r="E22" s="16">
        <v>13</v>
      </c>
      <c r="F22" s="38">
        <v>9</v>
      </c>
      <c r="G22" s="19"/>
      <c r="N22" s="20"/>
      <c r="O22" s="20"/>
    </row>
    <row r="23" spans="1:15" ht="15.75" x14ac:dyDescent="0.25">
      <c r="A23" s="14" t="s">
        <v>62</v>
      </c>
      <c r="B23" s="15" t="s">
        <v>70</v>
      </c>
      <c r="C23" s="16" t="s">
        <v>47</v>
      </c>
      <c r="D23" s="16" t="s">
        <v>45</v>
      </c>
      <c r="E23" s="16">
        <v>13</v>
      </c>
      <c r="F23" s="38">
        <v>6</v>
      </c>
      <c r="G23" s="19"/>
      <c r="N23" s="20"/>
      <c r="O23" s="20"/>
    </row>
    <row r="24" spans="1:15" ht="15.75" x14ac:dyDescent="0.25">
      <c r="A24" s="19"/>
      <c r="B24" s="19"/>
      <c r="C24" s="19"/>
      <c r="D24" s="19"/>
      <c r="E24" s="19"/>
      <c r="F24" s="19"/>
      <c r="G24" s="19"/>
      <c r="N24" s="39"/>
      <c r="O24" s="40"/>
    </row>
    <row r="25" spans="1:15" ht="15.75" x14ac:dyDescent="0.25">
      <c r="A25" s="19"/>
      <c r="B25" s="19"/>
      <c r="C25" s="19"/>
      <c r="D25" s="19"/>
      <c r="E25" s="19"/>
      <c r="F25" s="19"/>
      <c r="G25" s="19"/>
      <c r="N25" s="39"/>
      <c r="O25" s="40"/>
    </row>
    <row r="26" spans="1:15" ht="15.75" x14ac:dyDescent="0.25">
      <c r="A26" s="19"/>
      <c r="B26" s="19"/>
      <c r="C26" s="19"/>
      <c r="D26" s="19"/>
      <c r="E26" s="19"/>
      <c r="F26" s="19"/>
      <c r="G26" s="19"/>
      <c r="H26" s="6" t="s">
        <v>50</v>
      </c>
      <c r="I26" s="7" t="s">
        <v>51</v>
      </c>
      <c r="J26" s="7" t="s">
        <v>52</v>
      </c>
      <c r="K26" s="7" t="s">
        <v>53</v>
      </c>
      <c r="L26" s="8" t="s">
        <v>54</v>
      </c>
    </row>
    <row r="27" spans="1:15" ht="15.75" x14ac:dyDescent="0.25">
      <c r="A27" s="19"/>
      <c r="B27" s="19"/>
      <c r="C27" s="19"/>
      <c r="D27" s="19"/>
      <c r="E27" s="19"/>
      <c r="F27" s="19"/>
      <c r="G27" s="19"/>
      <c r="H27" s="23">
        <v>1</v>
      </c>
      <c r="I27" s="24">
        <f>SUM(Tabela110[TAMANHO EM PONTOS])/7</f>
        <v>10.142857142857142</v>
      </c>
      <c r="J27" s="24">
        <f>O3-I27</f>
        <v>60.857142857142847</v>
      </c>
      <c r="K27" s="25">
        <f t="shared" ref="K27" si="2">E18</f>
        <v>3</v>
      </c>
      <c r="L27" s="45">
        <f t="shared" ref="L27" si="3">O3-K27</f>
        <v>67.999999999999986</v>
      </c>
    </row>
    <row r="28" spans="1:15" ht="15.75" x14ac:dyDescent="0.25">
      <c r="A28" s="19"/>
      <c r="B28" s="19"/>
      <c r="C28" s="19"/>
      <c r="D28" s="19"/>
      <c r="E28" s="19"/>
      <c r="F28" s="19"/>
      <c r="G28" s="19"/>
      <c r="H28" s="23">
        <v>2</v>
      </c>
      <c r="I28" s="24">
        <f>SUM(Tabela110[TAMANHO EM PONTOS])/7</f>
        <v>10.142857142857142</v>
      </c>
      <c r="J28" s="24">
        <f t="shared" ref="J28:J33" si="4">J27-I28</f>
        <v>50.714285714285708</v>
      </c>
      <c r="K28" s="25">
        <v>0</v>
      </c>
      <c r="L28" s="45">
        <f>L27-K28</f>
        <v>67.999999999999986</v>
      </c>
    </row>
    <row r="29" spans="1:15" ht="15.75" x14ac:dyDescent="0.25">
      <c r="A29" s="19"/>
      <c r="B29" s="19"/>
      <c r="C29" s="19"/>
      <c r="D29" s="19"/>
      <c r="E29" s="19"/>
      <c r="F29" s="19"/>
      <c r="G29" s="19"/>
      <c r="H29" s="23">
        <v>3</v>
      </c>
      <c r="I29" s="24">
        <f>SUM(Tabela110[TAMANHO EM PONTOS])/7</f>
        <v>10.142857142857142</v>
      </c>
      <c r="J29" s="24">
        <f t="shared" si="4"/>
        <v>40.571428571428569</v>
      </c>
      <c r="K29" s="25">
        <f>E21</f>
        <v>21</v>
      </c>
      <c r="L29" s="45">
        <f t="shared" ref="L29:L32" si="5">L28-K29</f>
        <v>46.999999999999986</v>
      </c>
    </row>
    <row r="30" spans="1:15" ht="15.75" x14ac:dyDescent="0.25">
      <c r="G30" s="19"/>
      <c r="H30" s="23">
        <v>4</v>
      </c>
      <c r="I30" s="24">
        <f>SUM(Tabela110[TAMANHO EM PONTOS])/7</f>
        <v>10.142857142857142</v>
      </c>
      <c r="J30" s="24">
        <f t="shared" si="4"/>
        <v>30.428571428571427</v>
      </c>
      <c r="K30" s="29"/>
      <c r="L30" s="45">
        <f t="shared" si="5"/>
        <v>46.999999999999986</v>
      </c>
      <c r="M30" s="33"/>
    </row>
    <row r="31" spans="1:15" ht="15.75" x14ac:dyDescent="0.25">
      <c r="G31" s="19"/>
      <c r="H31" s="23">
        <v>5</v>
      </c>
      <c r="I31" s="24">
        <f>SUM(Tabela110[TAMANHO EM PONTOS])/7</f>
        <v>10.142857142857142</v>
      </c>
      <c r="J31" s="24">
        <f t="shared" si="4"/>
        <v>20.285714285714285</v>
      </c>
      <c r="K31" s="25"/>
      <c r="L31" s="45">
        <f t="shared" si="5"/>
        <v>46.999999999999986</v>
      </c>
      <c r="M31" s="41"/>
    </row>
    <row r="32" spans="1:15" ht="15.75" x14ac:dyDescent="0.25">
      <c r="H32" s="23">
        <v>6</v>
      </c>
      <c r="I32" s="24">
        <f>SUM(Tabela110[TAMANHO EM PONTOS])/7</f>
        <v>10.142857142857142</v>
      </c>
      <c r="J32" s="24">
        <f t="shared" si="4"/>
        <v>10.142857142857142</v>
      </c>
      <c r="K32" s="25"/>
      <c r="L32" s="45">
        <f t="shared" si="5"/>
        <v>46.999999999999986</v>
      </c>
      <c r="M32" s="41"/>
    </row>
    <row r="33" spans="8:13" ht="15.75" x14ac:dyDescent="0.25">
      <c r="H33" s="23">
        <v>7</v>
      </c>
      <c r="I33" s="24">
        <f>SUM(Tabela110[TAMANHO EM PONTOS])/7</f>
        <v>10.142857142857142</v>
      </c>
      <c r="J33" s="24">
        <f t="shared" si="4"/>
        <v>0</v>
      </c>
      <c r="K33" s="25"/>
      <c r="L33" s="45">
        <f>L32-K33</f>
        <v>46.999999999999986</v>
      </c>
      <c r="M33" s="41"/>
    </row>
    <row r="34" spans="8:13" ht="15.75" x14ac:dyDescent="0.25">
      <c r="I34" s="41"/>
      <c r="J34" s="42"/>
      <c r="K34" s="42"/>
      <c r="L34" s="41"/>
      <c r="M34" s="41"/>
    </row>
    <row r="35" spans="8:13" ht="15.75" x14ac:dyDescent="0.25">
      <c r="I35" s="41"/>
      <c r="J35" s="42"/>
      <c r="K35" s="42"/>
      <c r="L35" s="41"/>
      <c r="M35" s="41"/>
    </row>
    <row r="36" spans="8:13" ht="15.75" x14ac:dyDescent="0.25">
      <c r="I36" s="41"/>
      <c r="J36" s="42"/>
      <c r="K36" s="42"/>
      <c r="L36" s="41"/>
      <c r="M36" s="41"/>
    </row>
    <row r="37" spans="8:13" ht="15.75" x14ac:dyDescent="0.25">
      <c r="I37" s="41"/>
      <c r="J37" s="42"/>
      <c r="K37" s="42"/>
      <c r="L37" s="41"/>
      <c r="M37" s="41"/>
    </row>
    <row r="38" spans="8:13" ht="15.75" x14ac:dyDescent="0.25">
      <c r="I38" s="39"/>
      <c r="J38" s="43"/>
      <c r="K38" s="39"/>
      <c r="L38" s="39"/>
      <c r="M38" s="39"/>
    </row>
  </sheetData>
  <mergeCells count="3">
    <mergeCell ref="R1:V1"/>
    <mergeCell ref="A1:F1"/>
    <mergeCell ref="A16:F16"/>
  </mergeCells>
  <phoneticPr fontId="2" type="noConversion"/>
  <pageMargins left="0.511811024" right="0.511811024" top="0.78740157499999996" bottom="0.78740157499999996" header="0.31496062000000002" footer="0.31496062000000002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AC8D-B32F-424F-9850-428CED8BF11C}">
  <dimension ref="A1:E27"/>
  <sheetViews>
    <sheetView zoomScale="80" zoomScaleNormal="80" workbookViewId="0">
      <selection activeCell="D31" sqref="D31"/>
    </sheetView>
  </sheetViews>
  <sheetFormatPr defaultRowHeight="15" x14ac:dyDescent="0.25"/>
  <cols>
    <col min="1" max="1" width="52.140625" style="1" bestFit="1" customWidth="1"/>
    <col min="2" max="2" width="80.28515625" style="1" bestFit="1" customWidth="1"/>
    <col min="3" max="3" width="26.7109375" style="1" customWidth="1"/>
    <col min="4" max="4" width="29.5703125" style="1" customWidth="1"/>
    <col min="5" max="5" width="32.85546875" style="1" bestFit="1" customWidth="1"/>
    <col min="6" max="6" width="9" style="1" customWidth="1"/>
    <col min="7" max="16384" width="9.140625" style="1"/>
  </cols>
  <sheetData>
    <row r="1" spans="1:5" ht="15.75" x14ac:dyDescent="0.25">
      <c r="A1" s="49" t="s">
        <v>56</v>
      </c>
      <c r="B1" s="50"/>
      <c r="C1" s="50"/>
      <c r="D1" s="50"/>
      <c r="E1" s="50"/>
    </row>
    <row r="2" spans="1:5" ht="15.75" x14ac:dyDescent="0.25">
      <c r="A2" s="4" t="s">
        <v>0</v>
      </c>
      <c r="B2" s="5" t="s">
        <v>1</v>
      </c>
      <c r="C2" s="5" t="s">
        <v>2</v>
      </c>
      <c r="D2" s="5" t="s">
        <v>57</v>
      </c>
      <c r="E2" s="5" t="s">
        <v>58</v>
      </c>
    </row>
    <row r="3" spans="1:5" ht="15.75" x14ac:dyDescent="0.25">
      <c r="A3" s="14" t="s">
        <v>17</v>
      </c>
      <c r="B3" s="15" t="s">
        <v>40</v>
      </c>
      <c r="C3" s="16" t="s">
        <v>47</v>
      </c>
      <c r="D3" s="16">
        <v>9</v>
      </c>
      <c r="E3" s="38">
        <v>9</v>
      </c>
    </row>
    <row r="4" spans="1:5" ht="15.75" x14ac:dyDescent="0.25">
      <c r="A4" s="14" t="s">
        <v>59</v>
      </c>
      <c r="B4" s="15" t="s">
        <v>28</v>
      </c>
      <c r="C4" s="16" t="s">
        <v>49</v>
      </c>
      <c r="D4" s="16">
        <v>4</v>
      </c>
      <c r="E4" s="17">
        <v>4</v>
      </c>
    </row>
    <row r="5" spans="1:5" ht="15.75" x14ac:dyDescent="0.25">
      <c r="A5" s="14" t="s">
        <v>18</v>
      </c>
      <c r="B5" s="15" t="s">
        <v>29</v>
      </c>
      <c r="C5" s="16" t="s">
        <v>48</v>
      </c>
      <c r="D5" s="16">
        <v>6</v>
      </c>
      <c r="E5" s="38">
        <v>6</v>
      </c>
    </row>
    <row r="6" spans="1:5" ht="15.75" x14ac:dyDescent="0.25">
      <c r="A6" s="14" t="s">
        <v>19</v>
      </c>
      <c r="B6" s="15" t="s">
        <v>30</v>
      </c>
      <c r="C6" s="16" t="s">
        <v>48</v>
      </c>
      <c r="D6" s="16">
        <v>4</v>
      </c>
      <c r="E6" s="38">
        <v>6</v>
      </c>
    </row>
    <row r="7" spans="1:5" ht="15.75" x14ac:dyDescent="0.25">
      <c r="A7" s="14" t="s">
        <v>20</v>
      </c>
      <c r="B7" s="15" t="s">
        <v>31</v>
      </c>
      <c r="C7" s="16" t="s">
        <v>47</v>
      </c>
      <c r="D7" s="16">
        <v>9</v>
      </c>
      <c r="E7" s="38">
        <v>9</v>
      </c>
    </row>
    <row r="8" spans="1:5" ht="15.75" x14ac:dyDescent="0.25">
      <c r="A8" s="14" t="s">
        <v>16</v>
      </c>
      <c r="B8" s="15" t="s">
        <v>32</v>
      </c>
      <c r="C8" s="16" t="s">
        <v>47</v>
      </c>
      <c r="D8" s="16">
        <v>9</v>
      </c>
      <c r="E8" s="38">
        <v>9</v>
      </c>
    </row>
    <row r="9" spans="1:5" ht="15.75" x14ac:dyDescent="0.25">
      <c r="A9" s="14" t="s">
        <v>21</v>
      </c>
      <c r="B9" s="15" t="s">
        <v>33</v>
      </c>
      <c r="C9" s="16" t="s">
        <v>47</v>
      </c>
      <c r="D9" s="16">
        <v>6</v>
      </c>
      <c r="E9" s="38">
        <v>9</v>
      </c>
    </row>
    <row r="10" spans="1:5" ht="15.75" x14ac:dyDescent="0.25">
      <c r="A10" s="14" t="s">
        <v>22</v>
      </c>
      <c r="B10" s="15" t="s">
        <v>34</v>
      </c>
      <c r="C10" s="16" t="s">
        <v>48</v>
      </c>
      <c r="D10" s="16">
        <v>4</v>
      </c>
      <c r="E10" s="18">
        <v>2</v>
      </c>
    </row>
    <row r="11" spans="1:5" ht="15.75" x14ac:dyDescent="0.25">
      <c r="A11" s="14" t="s">
        <v>23</v>
      </c>
      <c r="B11" s="15" t="s">
        <v>35</v>
      </c>
      <c r="C11" s="16" t="s">
        <v>48</v>
      </c>
      <c r="D11" s="16">
        <v>4</v>
      </c>
      <c r="E11" s="18">
        <v>2</v>
      </c>
    </row>
    <row r="12" spans="1:5" ht="15.75" x14ac:dyDescent="0.25">
      <c r="A12" s="14" t="s">
        <v>24</v>
      </c>
      <c r="B12" s="15" t="s">
        <v>36</v>
      </c>
      <c r="C12" s="16" t="s">
        <v>48</v>
      </c>
      <c r="D12" s="16">
        <v>4</v>
      </c>
      <c r="E12" s="18">
        <v>1</v>
      </c>
    </row>
    <row r="13" spans="1:5" ht="15.75" x14ac:dyDescent="0.25">
      <c r="A13" s="14" t="s">
        <v>25</v>
      </c>
      <c r="B13" s="15" t="s">
        <v>37</v>
      </c>
      <c r="C13" s="16" t="s">
        <v>47</v>
      </c>
      <c r="D13" s="16">
        <v>9</v>
      </c>
      <c r="E13" s="38">
        <v>9</v>
      </c>
    </row>
    <row r="14" spans="1:5" ht="15.75" x14ac:dyDescent="0.25">
      <c r="A14" s="14" t="s">
        <v>26</v>
      </c>
      <c r="B14" s="15" t="s">
        <v>38</v>
      </c>
      <c r="C14" s="16" t="s">
        <v>48</v>
      </c>
      <c r="D14" s="16">
        <v>4</v>
      </c>
      <c r="E14" s="38">
        <v>6</v>
      </c>
    </row>
    <row r="15" spans="1:5" ht="15.75" x14ac:dyDescent="0.25">
      <c r="A15" s="14" t="s">
        <v>27</v>
      </c>
      <c r="B15" s="15" t="s">
        <v>39</v>
      </c>
      <c r="C15" s="16" t="s">
        <v>47</v>
      </c>
      <c r="D15" s="16">
        <v>2</v>
      </c>
      <c r="E15" s="18">
        <v>2</v>
      </c>
    </row>
    <row r="16" spans="1:5" ht="15.75" x14ac:dyDescent="0.25">
      <c r="A16" s="49" t="s">
        <v>55</v>
      </c>
      <c r="B16" s="50"/>
      <c r="C16" s="50"/>
      <c r="D16" s="50"/>
      <c r="E16" s="50"/>
    </row>
    <row r="17" spans="1:5" ht="15.75" x14ac:dyDescent="0.25">
      <c r="A17" s="4" t="s">
        <v>0</v>
      </c>
      <c r="B17" s="5" t="s">
        <v>1</v>
      </c>
      <c r="C17" s="5" t="s">
        <v>2</v>
      </c>
      <c r="D17" s="5" t="s">
        <v>57</v>
      </c>
      <c r="E17" s="5" t="s">
        <v>58</v>
      </c>
    </row>
    <row r="18" spans="1:5" ht="15.75" x14ac:dyDescent="0.25">
      <c r="A18" s="14" t="s">
        <v>63</v>
      </c>
      <c r="B18" s="15" t="s">
        <v>71</v>
      </c>
      <c r="C18" s="16" t="s">
        <v>48</v>
      </c>
      <c r="D18" s="16">
        <v>3</v>
      </c>
      <c r="E18" s="18">
        <v>1</v>
      </c>
    </row>
    <row r="19" spans="1:5" ht="15.75" x14ac:dyDescent="0.25">
      <c r="A19" s="14" t="s">
        <v>64</v>
      </c>
      <c r="B19" s="15" t="s">
        <v>66</v>
      </c>
      <c r="C19" s="16" t="s">
        <v>48</v>
      </c>
      <c r="D19" s="16">
        <v>8</v>
      </c>
      <c r="E19" s="17">
        <v>4</v>
      </c>
    </row>
    <row r="20" spans="1:5" ht="15.75" x14ac:dyDescent="0.25">
      <c r="A20" s="14" t="s">
        <v>65</v>
      </c>
      <c r="B20" s="15" t="s">
        <v>67</v>
      </c>
      <c r="C20" s="16" t="s">
        <v>47</v>
      </c>
      <c r="D20" s="16">
        <v>13</v>
      </c>
      <c r="E20" s="38">
        <v>6</v>
      </c>
    </row>
    <row r="21" spans="1:5" ht="15.75" x14ac:dyDescent="0.25">
      <c r="A21" s="14" t="s">
        <v>60</v>
      </c>
      <c r="B21" s="15" t="s">
        <v>68</v>
      </c>
      <c r="C21" s="16" t="s">
        <v>47</v>
      </c>
      <c r="D21" s="16">
        <v>21</v>
      </c>
      <c r="E21" s="38">
        <v>9</v>
      </c>
    </row>
    <row r="22" spans="1:5" ht="15.75" x14ac:dyDescent="0.25">
      <c r="A22" s="14" t="s">
        <v>61</v>
      </c>
      <c r="B22" s="15" t="s">
        <v>69</v>
      </c>
      <c r="C22" s="16" t="s">
        <v>47</v>
      </c>
      <c r="D22" s="16">
        <v>13</v>
      </c>
      <c r="E22" s="38">
        <v>9</v>
      </c>
    </row>
    <row r="23" spans="1:5" ht="15.75" x14ac:dyDescent="0.25">
      <c r="A23" s="14" t="s">
        <v>62</v>
      </c>
      <c r="B23" s="15" t="s">
        <v>70</v>
      </c>
      <c r="C23" s="16" t="s">
        <v>47</v>
      </c>
      <c r="D23" s="16">
        <v>13</v>
      </c>
      <c r="E23" s="38">
        <v>6</v>
      </c>
    </row>
    <row r="24" spans="1:5" ht="15.75" x14ac:dyDescent="0.25">
      <c r="A24" s="20"/>
      <c r="B24" s="20"/>
      <c r="C24" s="21"/>
      <c r="D24" s="21"/>
      <c r="E24" s="21"/>
    </row>
    <row r="25" spans="1:5" ht="15.75" x14ac:dyDescent="0.25">
      <c r="A25" s="20"/>
      <c r="B25" s="20"/>
      <c r="C25" s="21"/>
      <c r="D25" s="21"/>
      <c r="E25" s="21"/>
    </row>
    <row r="26" spans="1:5" ht="15.75" x14ac:dyDescent="0.25">
      <c r="A26" s="20"/>
      <c r="B26" s="20"/>
      <c r="C26" s="21"/>
      <c r="D26" s="21"/>
      <c r="E26" s="21"/>
    </row>
    <row r="27" spans="1:5" ht="15.75" x14ac:dyDescent="0.25">
      <c r="A27" s="20"/>
      <c r="B27" s="20"/>
      <c r="C27" s="21"/>
      <c r="D27" s="21"/>
      <c r="E27" s="21"/>
    </row>
  </sheetData>
  <mergeCells count="2">
    <mergeCell ref="A1:E1"/>
    <mergeCell ref="A16:E16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Burndown</vt:lpstr>
      <vt:lpstr>Riscos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Mendes</dc:creator>
  <cp:lastModifiedBy>Leandro Mendes</cp:lastModifiedBy>
  <dcterms:created xsi:type="dcterms:W3CDTF">2026-04-11T02:05:14Z</dcterms:created>
  <dcterms:modified xsi:type="dcterms:W3CDTF">2026-04-21T23:03:53Z</dcterms:modified>
</cp:coreProperties>
</file>